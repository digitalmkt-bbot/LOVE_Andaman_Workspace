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ภาพรวม &amp; กลยุทธ์" sheetId="1" state="visible" r:id="rId3"/>
    <sheet name="เป้ารายเดือน" sheetId="2" state="visible" r:id="rId4"/>
    <sheet name="ปฏิทินกิจกรรม" sheetId="3" state="visible" r:id="rId5"/>
    <sheet name="โครงสร้างราคา &amp; กันชน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<sst xmlns="http://schemas.openxmlformats.org/spreadsheetml/2006/main" count="198" uniqueCount="161">
  <si>
    <t xml:space="preserve">แผนการตลาด OTA · LOVE Andaman · Year Plan (12 เดือน)</t>
  </si>
  <si>
    <t xml:space="preserve">ฐานข้อมูลจริง: booking 4–22 มิ.ย. 2026 (~3 สัปดาห์) · เป้าทั้งปี = ฐานเดือน มิ.ย. × ดัชนีฤดูกาล/ปฏิทินตลาดต้นทางของแต่ละแพลตฟอร์ม (ประมาณการ ปรับได้)</t>
  </si>
  <si>
    <t xml:space="preserve">OTA</t>
  </si>
  <si>
    <t xml:space="preserve">ฐาน มิ.ย.
(pax)</t>
  </si>
  <si>
    <t xml:space="preserve">ฐาน มิ.ย.
(฿)</t>
  </si>
  <si>
    <t xml:space="preserve">avg ฿/หัว</t>
  </si>
  <si>
    <t xml:space="preserve">ตลาดต้นทางหลัก</t>
  </si>
  <si>
    <t xml:space="preserve">โปรแกรม/ย่านเด่น</t>
  </si>
  <si>
    <t xml:space="preserve">บทบาท &amp; กลยุทธ์หลัก</t>
  </si>
  <si>
    <t xml:space="preserve">Trip.com</t>
  </si>
  <si>
    <t xml:space="preserve">รัสเซีย · จีน</t>
  </si>
  <si>
    <t xml:space="preserve">Phi Phi Bamboo · Laguna/Karon/Kalim</t>
  </si>
  <si>
    <t xml:space="preserve">ตัวหลักด้านวอลุ่ม (47% ของ pax OTA) — ดัน RU ช่วงหน้าหนาว (พ.ย.–มี.ค.) + จับ Golden Week จีน (ตรุษจีน ก.พ., แรงงาน พ.ค., ชาติ ต.ค.) · ลิสต์ภาษา RU/CN + flash sale</t>
  </si>
  <si>
    <t xml:space="preserve">KLOOK</t>
  </si>
  <si>
    <t xml:space="preserve">เกาหลี · สิงคโปร์ · ออสเตรเลีย</t>
  </si>
  <si>
    <t xml:space="preserve">Phi Phi Bamboo + Whale Shark · Kalim/Panwa</t>
  </si>
  <si>
    <t xml:space="preserve">ตลาดเอเชียหลากหลาย คุณภาพดี — ดันหน้าร้อนเอเชีย (ก.ค.–ส.ค.) + เทศกาลเกาหลี (Seollal ก.พ., Chuseok ต.ค.) · บันเดิล Phi Phi+Whale Shark</t>
  </si>
  <si>
    <t xml:space="preserve">Traveloka</t>
  </si>
  <si>
    <t xml:space="preserve">อินโดนีเซีย</t>
  </si>
  <si>
    <t xml:space="preserve">Phi Phi Bamboo · Patong/Maikhao</t>
  </si>
  <si>
    <t xml:space="preserve">ตลาดอินโดฯ งบประหยัด (฿/หัวต่ำสุด) — เน้นวอลุ่มช่วงปิดเทอมอินโด (มิ.ย.–ก.ค., ธ.ค.) + Lebaran/Eid (มี.ค.–เม.ย.) · แพ็กครอบครัว + สื่อสาร halal-friendly</t>
  </si>
  <si>
    <t xml:space="preserve">GetYourGuide</t>
  </si>
  <si>
    <t xml:space="preserve">อังกฤษ · ออสเตรเลีย</t>
  </si>
  <si>
    <t xml:space="preserve">Whale Shark Sunset · Karon</t>
  </si>
  <si>
    <t xml:space="preserve">ฝรั่งพรีเมียม มูลค่าสูงสุด (฿3,200/หัว) วอลุ่มน้อย = โอกาสโตสูง — ลงทุนรีวิว+ภาพมือโปร, วางตำแหน่งพรีเมียม/กรุ๊ปเล็ก, ดัน Whale Shark + อัปเซลเหมาลำ</t>
  </si>
  <si>
    <t xml:space="preserve">รวม 4 OTA</t>
  </si>
  <si>
    <t xml:space="preserve">หลักคิดทั้งปี: หน้าหนาว (พ.ย.–มี.ค.) = พีคฝรั่ง/รัสเซีย ดันราคา/พรีเมียม · กรีนซีซั่น (พ.ค.–ต.ค.) = ดันโปรเชิงรุกรักษาอันดับ+เติมวอลุ่มเอเชีย · ทุกเจ้าใช้ Phi Phi Bamboo เป็นตัวเปิด, Whale Shark Sunset เป็นตัวอัปเซล</t>
  </si>
  <si>
    <t xml:space="preserve">เป้าหมายรายเดือน · pax &amp; รายได้ (ประมาณการ ฿)</t>
  </si>
  <si>
    <t xml:space="preserve">avg ฿/หัว (สมมติฐาน · แก้ได้) →</t>
  </si>
  <si>
    <t xml:space="preserve">เดือน</t>
  </si>
  <si>
    <t xml:space="preserve">ฤดูกาล</t>
  </si>
  <si>
    <t xml:space="preserve">Trip.com
pax</t>
  </si>
  <si>
    <t xml:space="preserve">Trip.com
฿</t>
  </si>
  <si>
    <t xml:space="preserve">KLOOK
pax</t>
  </si>
  <si>
    <t xml:space="preserve">KLOOK
฿</t>
  </si>
  <si>
    <t xml:space="preserve">Traveloka
pax</t>
  </si>
  <si>
    <t xml:space="preserve">Traveloka
฿</t>
  </si>
  <si>
    <t xml:space="preserve">GetYourGuide
pax</t>
  </si>
  <si>
    <t xml:space="preserve">GetYourGuide
฿</t>
  </si>
  <si>
    <t xml:space="preserve">รวม
pax</t>
  </si>
  <si>
    <t xml:space="preserve">รวม
฿</t>
  </si>
  <si>
    <t xml:space="preserve">ม.ค.</t>
  </si>
  <si>
    <t xml:space="preserve">ไฮซีซั่น</t>
  </si>
  <si>
    <t xml:space="preserve">ก.พ.</t>
  </si>
  <si>
    <t xml:space="preserve">ไฮ · ตรุษจีน</t>
  </si>
  <si>
    <t xml:space="preserve">มี.ค.</t>
  </si>
  <si>
    <t xml:space="preserve">ไฮ (ปลาย)</t>
  </si>
  <si>
    <t xml:space="preserve">เม.ย.</t>
  </si>
  <si>
    <t xml:space="preserve">Shoulder · สงกรานต์</t>
  </si>
  <si>
    <t xml:space="preserve">พ.ค.</t>
  </si>
  <si>
    <t xml:space="preserve">กรีน (เริ่ม)</t>
  </si>
  <si>
    <t xml:space="preserve">มิ.ย.</t>
  </si>
  <si>
    <t xml:space="preserve">กรีน · ฐาน</t>
  </si>
  <si>
    <t xml:space="preserve">ก.ค.</t>
  </si>
  <si>
    <t xml:space="preserve">กรีน · ร้อนเอเชีย</t>
  </si>
  <si>
    <t xml:space="preserve">ส.ค.</t>
  </si>
  <si>
    <t xml:space="preserve">ก.ย.</t>
  </si>
  <si>
    <t xml:space="preserve">กรีน · ต่ำสุด</t>
  </si>
  <si>
    <t xml:space="preserve">ต.ค.</t>
  </si>
  <si>
    <t xml:space="preserve">กรีน · โกลเด้นวีคจีน</t>
  </si>
  <si>
    <t xml:space="preserve">พ.ย.</t>
  </si>
  <si>
    <t xml:space="preserve">ไฮ (เริ่ม)</t>
  </si>
  <si>
    <t xml:space="preserve">ธ.ค.</t>
  </si>
  <si>
    <t xml:space="preserve">ไฮ · พีค ปีใหม่</t>
  </si>
  <si>
    <t xml:space="preserve">รวมทั้งปี</t>
  </si>
  <si>
    <t xml:space="preserve">ตัวเลขสีน้ำเงิน = แก้ได้ (เป้า pax + avg ฿/หัว) · ช่อง ฿ และ 'รวม' คำนวณอัตโนมัติ</t>
  </si>
  <si>
    <t xml:space="preserve">ปฏิทินกิจกรรมการตลาดรายเดือน · ตลาดเป้าหมาย + แคมเปญ ต่อ OTA</t>
  </si>
  <si>
    <t xml:space="preserve">ฤดูกาลภูเก็ต</t>
  </si>
  <si>
    <t xml:space="preserve">RU หน้าหนาวพีค + พรี-ตรุษจีน · flash sale Phi Phi Bamboo · ลิสต์ภาษา RU</t>
  </si>
  <si>
    <t xml:space="preserve">หลังปีใหม่เอเชีย · โปร KR/SG</t>
  </si>
  <si>
    <t xml:space="preserve">กลาง · คงคอนเทนต์ราคาดี</t>
  </si>
  <si>
    <t xml:space="preserve">ฝรั่งหนีหนาวพีค · ลิสต์พรีเมียม + ภาพมือโปร</t>
  </si>
  <si>
    <t xml:space="preserve">ตรุษจีน Golden Week (จีน) + RU พีค · ดีลกรุ๊ป + อัปเซล Whale Shark · ดันราคา</t>
  </si>
  <si>
    <t xml:space="preserve">Seollal (เกาหลี) + ตรุษจีน · แคมเปญเอเชียตะวันออก</t>
  </si>
  <si>
    <t xml:space="preserve">กลาง · รักษาอันดับ</t>
  </si>
  <si>
    <t xml:space="preserve">พีคตะวันตก · วางตำแหน่งกรุ๊ปเล็ก/พรีเมียม</t>
  </si>
  <si>
    <t xml:space="preserve">RU ปลายไฮ · รักษาอันดับ + เร่งรีวิว · ดีลครอบครัว</t>
  </si>
  <si>
    <t xml:space="preserve">Shoulder · ดัน 'Best of Phuket' + รีวิว</t>
  </si>
  <si>
    <t xml:space="preserve">พรี-Lebaran · เริ่มแคมเปญครอบครัว ID</t>
  </si>
  <si>
    <t xml:space="preserve">ปลายไฮ · เก็บรีวิว (=อันดับ GYG)</t>
  </si>
  <si>
    <t xml:space="preserve">สงกรานต์ · โปรเทศกาล · จับทัวริสต์ภูมิภาค</t>
  </si>
  <si>
    <t xml:space="preserve">วันหยุดภูมิภาค · บันเดิลครอบครัว</t>
  </si>
  <si>
    <t xml:space="preserve">Lebaran/Eid · พีคอินโด · แพ็กครอบครัว + halal-friendly</t>
  </si>
  <si>
    <t xml:space="preserve">Shoulder · ดัน Whale Shark</t>
  </si>
  <si>
    <t xml:space="preserve">Golden Week แรงงานจีน (ต้น พ.ค.) · flash sale จีน</t>
  </si>
  <si>
    <t xml:space="preserve">กรีน · คงคอนเทนต์ · เตรียมแคมเปญร้อน</t>
  </si>
  <si>
    <t xml:space="preserve">กรีน · คงราคา</t>
  </si>
  <si>
    <t xml:space="preserve">กรีน · คงคอนเทนต์</t>
  </si>
  <si>
    <t xml:space="preserve">กรีน · รักษาอันดับ + รีเฟรชคอนเทนต์/ภาพ</t>
  </si>
  <si>
    <t xml:space="preserve">กรีน · ฐาน · รักษาอันดับ</t>
  </si>
  <si>
    <t xml:space="preserve">ปิดเทอมอินโด · ดันวอลุ่ม + แพ็กครอบครัว</t>
  </si>
  <si>
    <t xml:space="preserve">ฐาน · ลงทุนรีวิว</t>
  </si>
  <si>
    <t xml:space="preserve">บันเดิล Phi Phi + Whale Shark · คงวอลุ่ม</t>
  </si>
  <si>
    <t xml:space="preserve">ปิดเทอมเอเชีย (KR/SG) · แพ็กครอบครัวร้อน · Phi Phi</t>
  </si>
  <si>
    <t xml:space="preserve">ปิดเทอมอินโดต่อ · พีควอลุ่ม · ราคา IDR เป็นมิตร</t>
  </si>
  <si>
    <t xml:space="preserve">ร้อน UK/EU · ดันวอลุ่มพรีเมียม</t>
  </si>
  <si>
    <t xml:space="preserve">คงวอลุ่ม · เก็บรีวิวเพิ่มอันดับ</t>
  </si>
  <si>
    <t xml:space="preserve">หน้าร้อนต่อ · ดันวอลุ่ม + Whale Shark</t>
  </si>
  <si>
    <t xml:space="preserve">เริ่มแผ่ว · คงโปร</t>
  </si>
  <si>
    <t xml:space="preserve">หน้าร้อนต่อ · Whale Shark + เหมาลำ</t>
  </si>
  <si>
    <t xml:space="preserve">ต่ำสุด · ลดเชิงรุกรักษาอันดับ (อย่าหลุดหน้าแรก)</t>
  </si>
  <si>
    <t xml:space="preserve">คงระดับ · เก็บรีวิว</t>
  </si>
  <si>
    <t xml:space="preserve">ต่ำสุด · ลดเชิงรุก</t>
  </si>
  <si>
    <t xml:space="preserve">ต่ำ · คงอันดับ</t>
  </si>
  <si>
    <t xml:space="preserve">Golden Week ชาติจีน (1 ต.ค.) · แคมเปญจีน</t>
  </si>
  <si>
    <t xml:space="preserve">Chuseok (เกาหลี) · แคมเปญเกาหลี</t>
  </si>
  <si>
    <t xml:space="preserve">กรีน · ดีลคุ้มค่า</t>
  </si>
  <si>
    <t xml:space="preserve">สร้างรีวิวก่อนไฮ</t>
  </si>
  <si>
    <t xml:space="preserve">ไฮเริ่ม · early-bird หน้าหนาว + รีทาร์เก็ต RU</t>
  </si>
  <si>
    <t xml:space="preserve">ไฮเริ่ม · ดันแพ็กพรีเมียม</t>
  </si>
  <si>
    <t xml:space="preserve">สร้างฐานก่อนไฮ</t>
  </si>
  <si>
    <t xml:space="preserve">ไฮเริ่ม · ดันพรีเมียม</t>
  </si>
  <si>
    <t xml:space="preserve">พีคคริสต์มาส/ปีใหม่ + RU · ดันราคาขึ้น (dynamic) · ล็อกที่นั่งพรีเมียม</t>
  </si>
  <si>
    <t xml:space="preserve">พีคปีใหม่ · ดีลปลายปี + อัปเซล</t>
  </si>
  <si>
    <t xml:space="preserve">ปลายปีอินโด · แคมเปญหยุดยาว</t>
  </si>
  <si>
    <t xml:space="preserve">พีค · ล็อกที่พรีเมียม + อัปเซลเหมาลำ</t>
  </si>
  <si>
    <t xml:space="preserve">โครงสร้างราคา &amp; แพ็กต่อช่องทาง — ให้ Trip.com 'ดูถูกสุด' โดยไม่กระทบอีก 3 เจ้า</t>
  </si>
  <si>
    <t xml:space="preserve">หลักการ: parity บังคับเฉพาะ 'สินค้าเหมือนกันเป๊ะ' → แยก SKU ต่อช่องทาง + ให้ส่วนลดมาจากคูปอง/net ของ OTA + รั้วด้วยวัน-จำนวน + ดันเจ้าอื่นด้วยมูลค่า (ไม่กดราคาลง)</t>
  </si>
  <si>
    <t xml:space="preserve">ช่องทาง</t>
  </si>
  <si>
    <t xml:space="preserve">สินค้า / SKU ที่ให้ขาย</t>
  </si>
  <si>
    <t xml:space="preserve">ตำแหน่งราคา</t>
  </si>
  <si>
    <t xml:space="preserve">สิ่งที่รวม (inclusion)</t>
  </si>
  <si>
    <t xml:space="preserve">รั้ว / เงื่อนไข (fencing)</t>
  </si>
  <si>
    <t xml:space="preserve">จำนวนที่ปล่อย</t>
  </si>
  <si>
    <t xml:space="preserve">โมเดลราคา</t>
  </si>
  <si>
    <t xml:space="preserve">ราคาขายตั้งต้น
(กรอกเอง)</t>
  </si>
  <si>
    <t xml:space="preserve">หน้าร้าน/เว็บตรง</t>
  </si>
  <si>
    <t xml:space="preserve">ทุกโปรแกรม (เต็มรูปแบบ)</t>
  </si>
  <si>
    <t xml:space="preserve">ดีสุดได้ (สัญญา OTA ยอมให้ช่องทางตรงถูกสุด)</t>
  </si>
  <si>
    <t xml:space="preserve">รวมครบ · ยืดหยุ่นสุด · สะสมแต้ม/ลูกค้าเก่า</t>
  </si>
  <si>
    <t xml:space="preserve">— (ช่องทางหลักของแบรนด์)</t>
  </si>
  <si>
    <t xml:space="preserve">ไม่จำกัด</t>
  </si>
  <si>
    <t xml:space="preserve">ขายตรง (ไม่มีคอม)</t>
  </si>
  <si>
    <t xml:space="preserve">Phi Phi Bamboo — ที่นั่งล้วน รอบ Early</t>
  </si>
  <si>
    <t xml:space="preserve">ถูกสุด (loss-leader ดันอันดับ)</t>
  </si>
  <si>
    <t xml:space="preserve">ที่นั่ง+เรือ เท่านั้น · ไม่รวม Longtail / รับส่งโซนไกล</t>
  </si>
  <si>
    <t xml:space="preserve">โลว์ซีซั่น + จองล่วงหน้า · รอบ Early เท่านั้น · ยกเลิกไม่ได้</t>
  </si>
  <si>
    <t xml:space="preserve">จำกัด 8–10 ที่/รอบ</t>
  </si>
  <si>
    <t xml:space="preserve">Net rate — ให้ Trip.com กดราคา+คูปองเอง</t>
  </si>
  <si>
    <t xml:space="preserve">Phi Phi Bamboo — แพ็กครอบครัว (ตลาด ID)</t>
  </si>
  <si>
    <t xml:space="preserve">กลาง–ประหยัด</t>
  </si>
  <si>
    <t xml:space="preserve">รวมรับส่ง + ตัวเลือก halal / มื้ออาหาร</t>
  </si>
  <si>
    <t xml:space="preserve">ช่วงปิดเทอมอินโด · Lebaran/Eid</t>
  </si>
  <si>
    <t xml:space="preserve">ปกติ</t>
  </si>
  <si>
    <t xml:space="preserve">คอมมิชชั่น</t>
  </si>
  <si>
    <t xml:space="preserve">Phi Phi + Whale Shark (บันเดิล) / แพ็กครอบครัว</t>
  </si>
  <si>
    <t xml:space="preserve">กลาง</t>
  </si>
  <si>
    <t xml:space="preserve">รวม Longtail Join + รับส่งโรงแรม · เลือกรอบได้</t>
  </si>
  <si>
    <t xml:space="preserve">ยืดหยุ่นรอบ · ตลาดเอเชีย KR/SG</t>
  </si>
  <si>
    <t xml:space="preserve">Whale Shark Sunset / กรุ๊ปเล็ก · เหมาลำ</t>
  </si>
  <si>
    <t xml:space="preserve">พรีเมียม (ห้ามลดราคา)</t>
  </si>
  <si>
    <t xml:space="preserve">รวมรับส่ง + รูปถ่าย + ยกเลิกได้</t>
  </si>
  <si>
    <t xml:space="preserve">พรีเมียมตลอดปี · ไม่ flash sale</t>
  </si>
  <si>
    <t xml:space="preserve">คอมมิชชั่น (มาร์จิ้นสูง)</t>
  </si>
  <si>
    <t xml:space="preserve">กฎกันชน 4 ข้อ</t>
  </si>
  <si>
    <t xml:space="preserve">1) แยก SKU ต่อช่องทาง — อย่าขายสินค้า 'เหมือนกันเป๊ะ' ทุกเจ้า → Trip.com ได้เวอร์ชันถอดออปชัน (ถูกได้อย่างถูกต้อง ไม่ผิด parity)</t>
  </si>
  <si>
    <t xml:space="preserve">2) ส่วนลดมาจากคูปอง/net ของ Trip.com ไม่ใช่ราคาฐานคุณ → ราคาฐานเท่ากันทุกเจ้า แต่ลูกค้าเห็นถูกสุดบน Trip.com เพราะโปรของแพลตฟอร์ม</t>
  </si>
  <si>
    <t xml:space="preserve">3) รั้วด้วยวัน+จำนวน → ราคาถูกสุดเฉพาะโลว์ซีซั่น/จองล่วงหน้า/ที่นั่งจำกัด · วันพีคและที่นั่งส่วนใหญ่ราคาปกติเท่ากันหมด</t>
  </si>
  <si>
    <t xml:space="preserve">4) ดันเจ้าอื่น 'ขึ้น' ด้วยมูลค่า (รวม add-on/ยืดหยุ่น/พรีเมียม) ไม่ใช่กดราคาลงสู้ Trip.com</t>
  </si>
  <si>
    <t xml:space="preserve">⚠ เช็กสัญญา parity/MFN ที่เซ็นกับเจ้าอื่น · และดู net ฿/หัว 'หลังหักคอมมิชชั่น' ไม่ใช่ราคาหน้าจอ (Trip.com คอมอาจต่างทำให้ net ยังโอเค)</t>
  </si>
  <si>
    <t xml:space="preserve">★ Trip.com ↔ Traveloka คือคู่ที่ชนกันจริง (Phi Phi งบประหยัดทั้งคู่) → ต้องแยกแพ็กให้ชัด · GetYourGuide ปลอดภัย (คนละโปรแกรมพรีเมียม)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</si>
</sst>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฿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sz val="9"/>
      <color rgb="FF8A550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1"/>
      <color rgb="FF1B2A55"/>
      <name val="Tahoma"/>
      <family val="0"/>
      <charset val="1"/>
    </font>
    <font>
      <sz val="10"/>
      <color rgb="FF222222"/>
      <name val="Tahoma"/>
      <family val="0"/>
      <charset val="1"/>
    </font>
    <font>
      <b val="true"/>
      <sz val="10"/>
      <color rgb="FF0F6E56"/>
      <name val="Tahoma"/>
      <family val="0"/>
      <charset val="1"/>
    </font>
    <font>
      <sz val="9"/>
      <color rgb="FF222222"/>
      <name val="Tahoma"/>
      <family val="0"/>
      <charset val="1"/>
    </font>
    <font>
      <sz val="9"/>
      <color rgb="FF555555"/>
      <name val="Tahoma"/>
      <family val="0"/>
      <charset val="1"/>
    </font>
    <font>
      <b val="true"/>
      <sz val="14"/>
      <color rgb="FFFFFFFF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b val="true"/>
      <sz val="10"/>
      <color rgb="FF1B2A55"/>
      <name val="Tahoma"/>
      <family val="0"/>
      <charset val="1"/>
    </font>
    <font>
      <sz val="10"/>
      <color rgb="FF0000FF"/>
      <name val="Tahoma"/>
      <family val="0"/>
      <charset val="1"/>
    </font>
    <font>
      <b val="true"/>
      <sz val="9"/>
      <color rgb="FF1B2A55"/>
      <name val="Tahoma"/>
      <family val="0"/>
      <charset val="1"/>
    </font>
    <font>
      <sz val="8.5"/>
      <color rgb="FF888888"/>
      <name val="Tahoma"/>
      <family val="0"/>
      <charset val="1"/>
    </font>
    <font>
      <b val="true"/>
      <sz val="9"/>
      <color rgb="FF555555"/>
      <name val="Tahoma"/>
      <family val="0"/>
      <charset val="1"/>
    </font>
    <font>
      <b val="true"/>
      <sz val="9.5"/>
      <color rgb="FFFFFFFF"/>
      <name val="Tahoma"/>
      <family val="0"/>
      <charset val="1"/>
    </font>
    <font>
      <sz val="9"/>
      <color rgb="FFA32D2D"/>
      <name val="Tahoma"/>
      <family val="0"/>
      <charset val="1"/>
    </font>
    <font>
      <b val="true"/>
      <sz val="10"/>
      <color rgb="FF0000FF"/>
      <name val="Tahoma"/>
      <family val="0"/>
      <charset val="1"/>
    </font>
    <font>
      <sz val="9"/>
      <color rgb="FF444444"/>
      <name val="Tahoma"/>
      <family val="0"/>
      <charset val="1"/>
    </font>
    <font>
      <sz val="9"/>
      <color rgb="FFC0392B"/>
      <name val="Tahom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55"/>
        <bgColor rgb="FF222222"/>
      </patternFill>
    </fill>
    <fill>
      <patternFill patternType="solid">
        <fgColor rgb="FFFFF8EC"/>
        <bgColor rgb="FFFFFFFF"/>
      </patternFill>
    </fill>
    <fill>
      <patternFill patternType="solid">
        <fgColor rgb="FF0F6E56"/>
        <bgColor rgb="FF008080"/>
      </patternFill>
    </fill>
    <fill>
      <patternFill patternType="solid">
        <fgColor rgb="FFEAF3FB"/>
        <bgColor rgb="FFE6F1FB"/>
      </patternFill>
    </fill>
    <fill>
      <patternFill patternType="solid">
        <fgColor rgb="FFE24B4A"/>
        <bgColor rgb="FFC0392B"/>
      </patternFill>
    </fill>
    <fill>
      <patternFill patternType="solid">
        <fgColor rgb="FF185FA5"/>
        <bgColor rgb="FF0F6E56"/>
      </patternFill>
    </fill>
    <fill>
      <patternFill patternType="solid">
        <fgColor rgb="FFBA7517"/>
        <bgColor rgb="FF8A5500"/>
      </patternFill>
    </fill>
    <fill>
      <patternFill patternType="solid">
        <fgColor rgb="FF534AB7"/>
        <bgColor rgb="FF555555"/>
      </patternFill>
    </fill>
    <fill>
      <patternFill patternType="solid">
        <fgColor rgb="FFFBEAF0"/>
        <bgColor rgb="FFF1EFE8"/>
      </patternFill>
    </fill>
    <fill>
      <patternFill patternType="solid">
        <fgColor rgb="FFE6F1FB"/>
        <bgColor rgb="FFEAF3FB"/>
      </patternFill>
    </fill>
    <fill>
      <patternFill patternType="solid">
        <fgColor rgb="FFFAEEDA"/>
        <bgColor rgb="FFF1EFE8"/>
      </patternFill>
    </fill>
    <fill>
      <patternFill patternType="solid">
        <fgColor rgb="FFEAF3DE"/>
        <bgColor rgb="FFF1EFE8"/>
      </patternFill>
    </fill>
    <fill>
      <patternFill patternType="solid">
        <fgColor rgb="FFF1EFE8"/>
        <bgColor rgb="FFEAF3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500"/>
      <rgbColor rgb="FF800080"/>
      <rgbColor rgb="FF0F6E56"/>
      <rgbColor rgb="FFF1EFE8"/>
      <rgbColor rgb="FF888888"/>
      <rgbColor rgb="FF9999FF"/>
      <rgbColor rgb="FFC0392B"/>
      <rgbColor rgb="FFFFF8EC"/>
      <rgbColor rgb="FFE6F1FB"/>
      <rgbColor rgb="FF660066"/>
      <rgbColor rgb="FFFF8080"/>
      <rgbColor rgb="FF185FA5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EAF3DE"/>
      <rgbColor rgb="FFFAEEDA"/>
      <rgbColor rgb="FF99CCFF"/>
      <rgbColor rgb="FFFF99CC"/>
      <rgbColor rgb="FFCC99FF"/>
      <rgbColor rgb="FFFBEAF0"/>
      <rgbColor rgb="FF3366FF"/>
      <rgbColor rgb="FF33CCCC"/>
      <rgbColor rgb="FF99CC00"/>
      <rgbColor rgb="FFFFCC00"/>
      <rgbColor rgb="FFBA7517"/>
      <rgbColor rgb="FFE24B4A"/>
      <rgbColor rgb="FF534AB7"/>
      <rgbColor rgb="FF969696"/>
      <rgbColor rgb="FF1B2A55"/>
      <rgbColor rgb="FF339966"/>
      <rgbColor rgb="FF003300"/>
      <rgbColor rgb="FF444444"/>
      <rgbColor rgb="FFA32D2D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4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69.75" hidden="false" customHeight="true" outlineLevel="0" collapsed="false">
      <c r="A5" s="5" t="s">
        <v>9</v>
      </c>
      <c r="B5" s="6" t="n">
        <v>39</v>
      </c>
      <c r="C5" s="7" t="n">
        <v>76800</v>
      </c>
      <c r="D5" s="8" t="n">
        <v>1969</v>
      </c>
      <c r="E5" s="9" t="s">
        <v>10</v>
      </c>
      <c r="F5" s="10" t="s">
        <v>11</v>
      </c>
      <c r="G5" s="10" t="s">
        <v>12</v>
      </c>
    </row>
    <row r="6" customFormat="false" ht="69.75" hidden="false" customHeight="true" outlineLevel="0" collapsed="false">
      <c r="A6" s="5" t="s">
        <v>13</v>
      </c>
      <c r="B6" s="6" t="n">
        <v>21</v>
      </c>
      <c r="C6" s="7" t="n">
        <v>44600</v>
      </c>
      <c r="D6" s="8" t="n">
        <v>2124</v>
      </c>
      <c r="E6" s="9" t="s">
        <v>14</v>
      </c>
      <c r="F6" s="10" t="s">
        <v>15</v>
      </c>
      <c r="G6" s="10" t="s">
        <v>16</v>
      </c>
    </row>
    <row r="7" customFormat="false" ht="69.75" hidden="false" customHeight="true" outlineLevel="0" collapsed="false">
      <c r="A7" s="5" t="s">
        <v>17</v>
      </c>
      <c r="B7" s="6" t="n">
        <v>19</v>
      </c>
      <c r="C7" s="7" t="n">
        <v>32200</v>
      </c>
      <c r="D7" s="8" t="n">
        <v>1695</v>
      </c>
      <c r="E7" s="9" t="s">
        <v>18</v>
      </c>
      <c r="F7" s="10" t="s">
        <v>19</v>
      </c>
      <c r="G7" s="10" t="s">
        <v>20</v>
      </c>
    </row>
    <row r="8" customFormat="false" ht="69.75" hidden="false" customHeight="true" outlineLevel="0" collapsed="false">
      <c r="A8" s="5" t="s">
        <v>21</v>
      </c>
      <c r="B8" s="6" t="n">
        <v>4</v>
      </c>
      <c r="C8" s="7" t="n">
        <v>12800</v>
      </c>
      <c r="D8" s="8" t="n">
        <v>3200</v>
      </c>
      <c r="E8" s="9" t="s">
        <v>22</v>
      </c>
      <c r="F8" s="10" t="s">
        <v>23</v>
      </c>
      <c r="G8" s="10" t="s">
        <v>24</v>
      </c>
    </row>
    <row r="9" customFormat="false" ht="15" hidden="false" customHeight="true" outlineLevel="0" collapsed="false">
      <c r="A9" s="11" t="s">
        <v>25</v>
      </c>
      <c r="B9" s="12" t="n">
        <f aca="false">SUM(B5:B8)</f>
        <v>83</v>
      </c>
      <c r="C9" s="13" t="n">
        <f aca="false">SUM(C5:C8)</f>
        <v>166400</v>
      </c>
      <c r="D9" s="14"/>
      <c r="E9" s="14"/>
      <c r="F9" s="14"/>
      <c r="G9" s="14"/>
    </row>
    <row r="11" customFormat="false" ht="39.75" hidden="false" customHeight="true" outlineLevel="0" collapsed="false">
      <c r="A11" s="15" t="s">
        <v>26</v>
      </c>
      <c r="B11" s="15"/>
      <c r="C11" s="15"/>
      <c r="D11" s="15"/>
      <c r="E11" s="15"/>
      <c r="F11" s="15"/>
      <c r="G11" s="15"/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7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9"/>
    <col collapsed="false" customWidth="true" hidden="false" outlineLevel="0" max="12" min="12" style="1" width="13"/>
  </cols>
  <sheetData>
    <row r="1" customFormat="false" ht="25.5" hidden="false" customHeight="true" outlineLevel="0" collapsed="false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15" hidden="false" customHeight="true" outlineLevel="0" collapsed="false">
      <c r="B3" s="17" t="s">
        <v>28</v>
      </c>
      <c r="D3" s="18" t="n">
        <v>1969</v>
      </c>
      <c r="F3" s="18" t="n">
        <v>2124</v>
      </c>
      <c r="H3" s="18" t="n">
        <v>1695</v>
      </c>
      <c r="J3" s="18" t="n">
        <v>3200</v>
      </c>
    </row>
    <row r="4" customFormat="false" ht="30" hidden="false" customHeight="true" outlineLevel="0" collapsed="false">
      <c r="A4" s="19" t="s">
        <v>29</v>
      </c>
      <c r="B4" s="19" t="s">
        <v>30</v>
      </c>
      <c r="C4" s="19" t="s">
        <v>31</v>
      </c>
      <c r="D4" s="19" t="s">
        <v>32</v>
      </c>
      <c r="E4" s="19" t="s">
        <v>33</v>
      </c>
      <c r="F4" s="19" t="s">
        <v>34</v>
      </c>
      <c r="G4" s="19" t="s">
        <v>35</v>
      </c>
      <c r="H4" s="19" t="s">
        <v>36</v>
      </c>
      <c r="I4" s="19" t="s">
        <v>37</v>
      </c>
      <c r="J4" s="19" t="s">
        <v>38</v>
      </c>
      <c r="K4" s="19" t="s">
        <v>39</v>
      </c>
      <c r="L4" s="19" t="s">
        <v>40</v>
      </c>
    </row>
    <row r="5" customFormat="false" ht="15" hidden="false" customHeight="true" outlineLevel="0" collapsed="false">
      <c r="A5" s="20" t="s">
        <v>41</v>
      </c>
      <c r="B5" s="21" t="s">
        <v>42</v>
      </c>
      <c r="C5" s="22" t="n">
        <v>86</v>
      </c>
      <c r="D5" s="23" t="n">
        <f aca="false">C5*D$3</f>
        <v>169334</v>
      </c>
      <c r="E5" s="22" t="n">
        <v>34</v>
      </c>
      <c r="F5" s="23" t="n">
        <f aca="false">E5*F$3</f>
        <v>72216</v>
      </c>
      <c r="G5" s="22" t="n">
        <v>23</v>
      </c>
      <c r="H5" s="23" t="n">
        <f aca="false">G5*H$3</f>
        <v>38985</v>
      </c>
      <c r="I5" s="22" t="n">
        <v>7</v>
      </c>
      <c r="J5" s="23" t="n">
        <f aca="false">I5*J$3</f>
        <v>22400</v>
      </c>
      <c r="K5" s="24" t="n">
        <f aca="false">C5+E5+G5+I5</f>
        <v>150</v>
      </c>
      <c r="L5" s="25" t="n">
        <f aca="false">D5+F5+H5+J5</f>
        <v>302935</v>
      </c>
    </row>
    <row r="6" customFormat="false" ht="15" hidden="false" customHeight="true" outlineLevel="0" collapsed="false">
      <c r="A6" s="20" t="s">
        <v>43</v>
      </c>
      <c r="B6" s="21" t="s">
        <v>44</v>
      </c>
      <c r="C6" s="22" t="n">
        <v>94</v>
      </c>
      <c r="D6" s="23" t="n">
        <f aca="false">C6*D$3</f>
        <v>185086</v>
      </c>
      <c r="E6" s="22" t="n">
        <v>38</v>
      </c>
      <c r="F6" s="23" t="n">
        <f aca="false">E6*F$3</f>
        <v>80712</v>
      </c>
      <c r="G6" s="22" t="n">
        <v>21</v>
      </c>
      <c r="H6" s="23" t="n">
        <f aca="false">G6*H$3</f>
        <v>35595</v>
      </c>
      <c r="I6" s="22" t="n">
        <v>8</v>
      </c>
      <c r="J6" s="23" t="n">
        <f aca="false">I6*J$3</f>
        <v>25600</v>
      </c>
      <c r="K6" s="24" t="n">
        <f aca="false">C6+E6+G6+I6</f>
        <v>161</v>
      </c>
      <c r="L6" s="25" t="n">
        <f aca="false">D6+F6+H6+J6</f>
        <v>326993</v>
      </c>
    </row>
    <row r="7" customFormat="false" ht="15" hidden="false" customHeight="true" outlineLevel="0" collapsed="false">
      <c r="A7" s="20" t="s">
        <v>45</v>
      </c>
      <c r="B7" s="21" t="s">
        <v>46</v>
      </c>
      <c r="C7" s="22" t="n">
        <v>70</v>
      </c>
      <c r="D7" s="23" t="n">
        <f aca="false">C7*D$3</f>
        <v>137830</v>
      </c>
      <c r="E7" s="22" t="n">
        <v>29</v>
      </c>
      <c r="F7" s="23" t="n">
        <f aca="false">E7*F$3</f>
        <v>61596</v>
      </c>
      <c r="G7" s="22" t="n">
        <v>29</v>
      </c>
      <c r="H7" s="23" t="n">
        <f aca="false">G7*H$3</f>
        <v>49155</v>
      </c>
      <c r="I7" s="22" t="n">
        <v>6</v>
      </c>
      <c r="J7" s="23" t="n">
        <f aca="false">I7*J$3</f>
        <v>19200</v>
      </c>
      <c r="K7" s="24" t="n">
        <f aca="false">C7+E7+G7+I7</f>
        <v>134</v>
      </c>
      <c r="L7" s="25" t="n">
        <f aca="false">D7+F7+H7+J7</f>
        <v>267781</v>
      </c>
    </row>
    <row r="8" customFormat="false" ht="15" hidden="false" customHeight="true" outlineLevel="0" collapsed="false">
      <c r="A8" s="20" t="s">
        <v>47</v>
      </c>
      <c r="B8" s="21" t="s">
        <v>48</v>
      </c>
      <c r="C8" s="22" t="n">
        <v>47</v>
      </c>
      <c r="D8" s="23" t="n">
        <f aca="false">C8*D$3</f>
        <v>92543</v>
      </c>
      <c r="E8" s="22" t="n">
        <v>27</v>
      </c>
      <c r="F8" s="23" t="n">
        <f aca="false">E8*F$3</f>
        <v>57348</v>
      </c>
      <c r="G8" s="22" t="n">
        <v>30</v>
      </c>
      <c r="H8" s="23" t="n">
        <f aca="false">G8*H$3</f>
        <v>50850</v>
      </c>
      <c r="I8" s="22" t="n">
        <v>5</v>
      </c>
      <c r="J8" s="23" t="n">
        <f aca="false">I8*J$3</f>
        <v>16000</v>
      </c>
      <c r="K8" s="24" t="n">
        <f aca="false">C8+E8+G8+I8</f>
        <v>109</v>
      </c>
      <c r="L8" s="25" t="n">
        <f aca="false">D8+F8+H8+J8</f>
        <v>216741</v>
      </c>
    </row>
    <row r="9" customFormat="false" ht="15" hidden="false" customHeight="true" outlineLevel="0" collapsed="false">
      <c r="A9" s="20" t="s">
        <v>49</v>
      </c>
      <c r="B9" s="21" t="s">
        <v>50</v>
      </c>
      <c r="C9" s="22" t="n">
        <v>51</v>
      </c>
      <c r="D9" s="23" t="n">
        <f aca="false">C9*D$3</f>
        <v>100419</v>
      </c>
      <c r="E9" s="22" t="n">
        <v>21</v>
      </c>
      <c r="F9" s="23" t="n">
        <f aca="false">E9*F$3</f>
        <v>44604</v>
      </c>
      <c r="G9" s="22" t="n">
        <v>19</v>
      </c>
      <c r="H9" s="23" t="n">
        <f aca="false">G9*H$3</f>
        <v>32205</v>
      </c>
      <c r="I9" s="22" t="n">
        <v>4</v>
      </c>
      <c r="J9" s="23" t="n">
        <f aca="false">I9*J$3</f>
        <v>12800</v>
      </c>
      <c r="K9" s="24" t="n">
        <f aca="false">C9+E9+G9+I9</f>
        <v>95</v>
      </c>
      <c r="L9" s="25" t="n">
        <f aca="false">D9+F9+H9+J9</f>
        <v>190028</v>
      </c>
    </row>
    <row r="10" customFormat="false" ht="15" hidden="false" customHeight="true" outlineLevel="0" collapsed="false">
      <c r="A10" s="20" t="s">
        <v>51</v>
      </c>
      <c r="B10" s="21" t="s">
        <v>52</v>
      </c>
      <c r="C10" s="22" t="n">
        <v>39</v>
      </c>
      <c r="D10" s="23" t="n">
        <f aca="false">C10*D$3</f>
        <v>76791</v>
      </c>
      <c r="E10" s="22" t="n">
        <v>21</v>
      </c>
      <c r="F10" s="23" t="n">
        <f aca="false">E10*F$3</f>
        <v>44604</v>
      </c>
      <c r="G10" s="22" t="n">
        <v>25</v>
      </c>
      <c r="H10" s="23" t="n">
        <f aca="false">G10*H$3</f>
        <v>42375</v>
      </c>
      <c r="I10" s="22" t="n">
        <v>4</v>
      </c>
      <c r="J10" s="23" t="n">
        <f aca="false">I10*J$3</f>
        <v>12800</v>
      </c>
      <c r="K10" s="24" t="n">
        <f aca="false">C10+E10+G10+I10</f>
        <v>89</v>
      </c>
      <c r="L10" s="25" t="n">
        <f aca="false">D10+F10+H10+J10</f>
        <v>176570</v>
      </c>
    </row>
    <row r="11" customFormat="false" ht="15" hidden="false" customHeight="true" outlineLevel="0" collapsed="false">
      <c r="A11" s="20" t="s">
        <v>53</v>
      </c>
      <c r="B11" s="21" t="s">
        <v>54</v>
      </c>
      <c r="C11" s="22" t="n">
        <v>39</v>
      </c>
      <c r="D11" s="23" t="n">
        <f aca="false">C11*D$3</f>
        <v>76791</v>
      </c>
      <c r="E11" s="22" t="n">
        <v>29</v>
      </c>
      <c r="F11" s="23" t="n">
        <f aca="false">E11*F$3</f>
        <v>61596</v>
      </c>
      <c r="G11" s="22" t="n">
        <v>29</v>
      </c>
      <c r="H11" s="23" t="n">
        <f aca="false">G11*H$3</f>
        <v>49155</v>
      </c>
      <c r="I11" s="22" t="n">
        <v>6</v>
      </c>
      <c r="J11" s="23" t="n">
        <f aca="false">I11*J$3</f>
        <v>19200</v>
      </c>
      <c r="K11" s="24" t="n">
        <f aca="false">C11+E11+G11+I11</f>
        <v>103</v>
      </c>
      <c r="L11" s="25" t="n">
        <f aca="false">D11+F11+H11+J11</f>
        <v>206742</v>
      </c>
    </row>
    <row r="12" customFormat="false" ht="15" hidden="false" customHeight="true" outlineLevel="0" collapsed="false">
      <c r="A12" s="20" t="s">
        <v>55</v>
      </c>
      <c r="B12" s="21" t="s">
        <v>54</v>
      </c>
      <c r="C12" s="22" t="n">
        <v>39</v>
      </c>
      <c r="D12" s="23" t="n">
        <f aca="false">C12*D$3</f>
        <v>76791</v>
      </c>
      <c r="E12" s="22" t="n">
        <v>29</v>
      </c>
      <c r="F12" s="23" t="n">
        <f aca="false">E12*F$3</f>
        <v>61596</v>
      </c>
      <c r="G12" s="22" t="n">
        <v>19</v>
      </c>
      <c r="H12" s="23" t="n">
        <f aca="false">G12*H$3</f>
        <v>32205</v>
      </c>
      <c r="I12" s="22" t="n">
        <v>6</v>
      </c>
      <c r="J12" s="23" t="n">
        <f aca="false">I12*J$3</f>
        <v>19200</v>
      </c>
      <c r="K12" s="24" t="n">
        <f aca="false">C12+E12+G12+I12</f>
        <v>93</v>
      </c>
      <c r="L12" s="25" t="n">
        <f aca="false">D12+F12+H12+J12</f>
        <v>189792</v>
      </c>
    </row>
    <row r="13" customFormat="false" ht="15" hidden="false" customHeight="true" outlineLevel="0" collapsed="false">
      <c r="A13" s="20" t="s">
        <v>56</v>
      </c>
      <c r="B13" s="21" t="s">
        <v>57</v>
      </c>
      <c r="C13" s="22" t="n">
        <v>31</v>
      </c>
      <c r="D13" s="23" t="n">
        <f aca="false">C13*D$3</f>
        <v>61039</v>
      </c>
      <c r="E13" s="22" t="n">
        <v>23</v>
      </c>
      <c r="F13" s="23" t="n">
        <f aca="false">E13*F$3</f>
        <v>48852</v>
      </c>
      <c r="G13" s="22" t="n">
        <v>15</v>
      </c>
      <c r="H13" s="23" t="n">
        <f aca="false">G13*H$3</f>
        <v>25425</v>
      </c>
      <c r="I13" s="22" t="n">
        <v>4</v>
      </c>
      <c r="J13" s="23" t="n">
        <f aca="false">I13*J$3</f>
        <v>12800</v>
      </c>
      <c r="K13" s="24" t="n">
        <f aca="false">C13+E13+G13+I13</f>
        <v>73</v>
      </c>
      <c r="L13" s="25" t="n">
        <f aca="false">D13+F13+H13+J13</f>
        <v>148116</v>
      </c>
    </row>
    <row r="14" customFormat="false" ht="15" hidden="false" customHeight="true" outlineLevel="0" collapsed="false">
      <c r="A14" s="20" t="s">
        <v>58</v>
      </c>
      <c r="B14" s="21" t="s">
        <v>59</v>
      </c>
      <c r="C14" s="22" t="n">
        <v>55</v>
      </c>
      <c r="D14" s="23" t="n">
        <f aca="false">C14*D$3</f>
        <v>108295</v>
      </c>
      <c r="E14" s="22" t="n">
        <v>25</v>
      </c>
      <c r="F14" s="23" t="n">
        <f aca="false">E14*F$3</f>
        <v>53100</v>
      </c>
      <c r="G14" s="22" t="n">
        <v>17</v>
      </c>
      <c r="H14" s="23" t="n">
        <f aca="false">G14*H$3</f>
        <v>28815</v>
      </c>
      <c r="I14" s="22" t="n">
        <v>4</v>
      </c>
      <c r="J14" s="23" t="n">
        <f aca="false">I14*J$3</f>
        <v>12800</v>
      </c>
      <c r="K14" s="24" t="n">
        <f aca="false">C14+E14+G14+I14</f>
        <v>101</v>
      </c>
      <c r="L14" s="25" t="n">
        <f aca="false">D14+F14+H14+J14</f>
        <v>203010</v>
      </c>
    </row>
    <row r="15" customFormat="false" ht="15" hidden="false" customHeight="true" outlineLevel="0" collapsed="false">
      <c r="A15" s="20" t="s">
        <v>60</v>
      </c>
      <c r="B15" s="21" t="s">
        <v>61</v>
      </c>
      <c r="C15" s="22" t="n">
        <v>66</v>
      </c>
      <c r="D15" s="23" t="n">
        <f aca="false">C15*D$3</f>
        <v>129954</v>
      </c>
      <c r="E15" s="22" t="n">
        <v>29</v>
      </c>
      <c r="F15" s="23" t="n">
        <f aca="false">E15*F$3</f>
        <v>61596</v>
      </c>
      <c r="G15" s="22" t="n">
        <v>21</v>
      </c>
      <c r="H15" s="23" t="n">
        <f aca="false">G15*H$3</f>
        <v>35595</v>
      </c>
      <c r="I15" s="22" t="n">
        <v>6</v>
      </c>
      <c r="J15" s="23" t="n">
        <f aca="false">I15*J$3</f>
        <v>19200</v>
      </c>
      <c r="K15" s="24" t="n">
        <f aca="false">C15+E15+G15+I15</f>
        <v>122</v>
      </c>
      <c r="L15" s="25" t="n">
        <f aca="false">D15+F15+H15+J15</f>
        <v>246345</v>
      </c>
    </row>
    <row r="16" customFormat="false" ht="15" hidden="false" customHeight="true" outlineLevel="0" collapsed="false">
      <c r="A16" s="20" t="s">
        <v>62</v>
      </c>
      <c r="B16" s="21" t="s">
        <v>63</v>
      </c>
      <c r="C16" s="22" t="n">
        <v>90</v>
      </c>
      <c r="D16" s="23" t="n">
        <f aca="false">C16*D$3</f>
        <v>177210</v>
      </c>
      <c r="E16" s="22" t="n">
        <v>40</v>
      </c>
      <c r="F16" s="23" t="n">
        <f aca="false">E16*F$3</f>
        <v>84960</v>
      </c>
      <c r="G16" s="22" t="n">
        <v>32</v>
      </c>
      <c r="H16" s="23" t="n">
        <f aca="false">G16*H$3</f>
        <v>54240</v>
      </c>
      <c r="I16" s="22" t="n">
        <v>9</v>
      </c>
      <c r="J16" s="23" t="n">
        <f aca="false">I16*J$3</f>
        <v>28800</v>
      </c>
      <c r="K16" s="24" t="n">
        <f aca="false">C16+E16+G16+I16</f>
        <v>171</v>
      </c>
      <c r="L16" s="25" t="n">
        <f aca="false">D16+F16+H16+J16</f>
        <v>345210</v>
      </c>
    </row>
    <row r="17" customFormat="false" ht="15" hidden="false" customHeight="true" outlineLevel="0" collapsed="false">
      <c r="A17" s="11" t="s">
        <v>64</v>
      </c>
      <c r="B17" s="14"/>
      <c r="C17" s="12" t="n">
        <f aca="false">SUM(C5:C16)</f>
        <v>707</v>
      </c>
      <c r="D17" s="13" t="n">
        <f aca="false">SUM(D5:D16)</f>
        <v>1392083</v>
      </c>
      <c r="E17" s="12" t="n">
        <f aca="false">SUM(E5:E16)</f>
        <v>345</v>
      </c>
      <c r="F17" s="13" t="n">
        <f aca="false">SUM(F5:F16)</f>
        <v>732780</v>
      </c>
      <c r="G17" s="12" t="n">
        <f aca="false">SUM(G5:G16)</f>
        <v>280</v>
      </c>
      <c r="H17" s="13" t="n">
        <f aca="false">SUM(H5:H16)</f>
        <v>474600</v>
      </c>
      <c r="I17" s="12" t="n">
        <f aca="false">SUM(I5:I16)</f>
        <v>69</v>
      </c>
      <c r="J17" s="13" t="n">
        <f aca="false">SUM(J5:J16)</f>
        <v>220800</v>
      </c>
      <c r="K17" s="12" t="n">
        <f aca="false">SUM(K5:K16)</f>
        <v>1401</v>
      </c>
      <c r="L17" s="13" t="n">
        <f aca="false">SUM(L5:L16)</f>
        <v>2820263</v>
      </c>
    </row>
    <row r="19" customFormat="false" ht="15" hidden="false" customHeight="true" outlineLevel="0" collapsed="false">
      <c r="A19" s="26" t="s">
        <v>65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6" min="3" style="1" width="30"/>
  </cols>
  <sheetData>
    <row r="1" customFormat="false" ht="25.5" hidden="false" customHeight="true" outlineLevel="0" collapsed="false">
      <c r="A1" s="16" t="s">
        <v>66</v>
      </c>
      <c r="B1" s="16"/>
      <c r="C1" s="16"/>
      <c r="D1" s="16"/>
      <c r="E1" s="16"/>
      <c r="F1" s="16"/>
    </row>
    <row r="3" customFormat="false" ht="21.75" hidden="false" customHeight="true" outlineLevel="0" collapsed="false">
      <c r="A3" s="27" t="s">
        <v>29</v>
      </c>
      <c r="B3" s="27" t="s">
        <v>67</v>
      </c>
      <c r="C3" s="28" t="s">
        <v>9</v>
      </c>
      <c r="D3" s="29" t="s">
        <v>13</v>
      </c>
      <c r="E3" s="30" t="s">
        <v>17</v>
      </c>
      <c r="F3" s="31" t="s">
        <v>21</v>
      </c>
    </row>
    <row r="4" customFormat="false" ht="57.75" hidden="false" customHeight="true" outlineLevel="0" collapsed="false">
      <c r="A4" s="32" t="s">
        <v>41</v>
      </c>
      <c r="B4" s="33" t="s">
        <v>42</v>
      </c>
      <c r="C4" s="34" t="s">
        <v>68</v>
      </c>
      <c r="D4" s="34" t="s">
        <v>69</v>
      </c>
      <c r="E4" s="34" t="s">
        <v>70</v>
      </c>
      <c r="F4" s="34" t="s">
        <v>71</v>
      </c>
    </row>
    <row r="5" customFormat="false" ht="57.75" hidden="false" customHeight="true" outlineLevel="0" collapsed="false">
      <c r="A5" s="32" t="s">
        <v>43</v>
      </c>
      <c r="B5" s="33" t="s">
        <v>44</v>
      </c>
      <c r="C5" s="34" t="s">
        <v>72</v>
      </c>
      <c r="D5" s="34" t="s">
        <v>73</v>
      </c>
      <c r="E5" s="34" t="s">
        <v>74</v>
      </c>
      <c r="F5" s="34" t="s">
        <v>75</v>
      </c>
    </row>
    <row r="6" customFormat="false" ht="57.75" hidden="false" customHeight="true" outlineLevel="0" collapsed="false">
      <c r="A6" s="35" t="s">
        <v>45</v>
      </c>
      <c r="B6" s="36" t="s">
        <v>46</v>
      </c>
      <c r="C6" s="34" t="s">
        <v>76</v>
      </c>
      <c r="D6" s="34" t="s">
        <v>77</v>
      </c>
      <c r="E6" s="34" t="s">
        <v>78</v>
      </c>
      <c r="F6" s="34" t="s">
        <v>79</v>
      </c>
    </row>
    <row r="7" customFormat="false" ht="57.75" hidden="false" customHeight="true" outlineLevel="0" collapsed="false">
      <c r="A7" s="37" t="s">
        <v>47</v>
      </c>
      <c r="B7" s="38" t="s">
        <v>48</v>
      </c>
      <c r="C7" s="34" t="s">
        <v>80</v>
      </c>
      <c r="D7" s="34" t="s">
        <v>81</v>
      </c>
      <c r="E7" s="34" t="s">
        <v>82</v>
      </c>
      <c r="F7" s="34" t="s">
        <v>83</v>
      </c>
    </row>
    <row r="8" customFormat="false" ht="57.75" hidden="false" customHeight="true" outlineLevel="0" collapsed="false">
      <c r="A8" s="39" t="s">
        <v>49</v>
      </c>
      <c r="B8" s="40" t="s">
        <v>50</v>
      </c>
      <c r="C8" s="34" t="s">
        <v>84</v>
      </c>
      <c r="D8" s="34" t="s">
        <v>85</v>
      </c>
      <c r="E8" s="34" t="s">
        <v>86</v>
      </c>
      <c r="F8" s="34" t="s">
        <v>87</v>
      </c>
    </row>
    <row r="9" customFormat="false" ht="57.75" hidden="false" customHeight="true" outlineLevel="0" collapsed="false">
      <c r="A9" s="39" t="s">
        <v>51</v>
      </c>
      <c r="B9" s="40" t="s">
        <v>52</v>
      </c>
      <c r="C9" s="34" t="s">
        <v>88</v>
      </c>
      <c r="D9" s="34" t="s">
        <v>89</v>
      </c>
      <c r="E9" s="34" t="s">
        <v>90</v>
      </c>
      <c r="F9" s="34" t="s">
        <v>91</v>
      </c>
    </row>
    <row r="10" customFormat="false" ht="57.75" hidden="false" customHeight="true" outlineLevel="0" collapsed="false">
      <c r="A10" s="39" t="s">
        <v>53</v>
      </c>
      <c r="B10" s="40" t="s">
        <v>54</v>
      </c>
      <c r="C10" s="34" t="s">
        <v>92</v>
      </c>
      <c r="D10" s="34" t="s">
        <v>93</v>
      </c>
      <c r="E10" s="34" t="s">
        <v>94</v>
      </c>
      <c r="F10" s="34" t="s">
        <v>95</v>
      </c>
    </row>
    <row r="11" customFormat="false" ht="57.75" hidden="false" customHeight="true" outlineLevel="0" collapsed="false">
      <c r="A11" s="39" t="s">
        <v>55</v>
      </c>
      <c r="B11" s="40" t="s">
        <v>54</v>
      </c>
      <c r="C11" s="34" t="s">
        <v>96</v>
      </c>
      <c r="D11" s="34" t="s">
        <v>97</v>
      </c>
      <c r="E11" s="34" t="s">
        <v>98</v>
      </c>
      <c r="F11" s="34" t="s">
        <v>99</v>
      </c>
    </row>
    <row r="12" customFormat="false" ht="57.75" hidden="false" customHeight="true" outlineLevel="0" collapsed="false">
      <c r="A12" s="41" t="s">
        <v>56</v>
      </c>
      <c r="B12" s="42" t="s">
        <v>57</v>
      </c>
      <c r="C12" s="34" t="s">
        <v>100</v>
      </c>
      <c r="D12" s="34" t="s">
        <v>101</v>
      </c>
      <c r="E12" s="34" t="s">
        <v>102</v>
      </c>
      <c r="F12" s="34" t="s">
        <v>103</v>
      </c>
    </row>
    <row r="13" customFormat="false" ht="57.75" hidden="false" customHeight="true" outlineLevel="0" collapsed="false">
      <c r="A13" s="39" t="s">
        <v>58</v>
      </c>
      <c r="B13" s="40" t="s">
        <v>59</v>
      </c>
      <c r="C13" s="34" t="s">
        <v>104</v>
      </c>
      <c r="D13" s="34" t="s">
        <v>105</v>
      </c>
      <c r="E13" s="34" t="s">
        <v>106</v>
      </c>
      <c r="F13" s="34" t="s">
        <v>107</v>
      </c>
    </row>
    <row r="14" customFormat="false" ht="57.75" hidden="false" customHeight="true" outlineLevel="0" collapsed="false">
      <c r="A14" s="32" t="s">
        <v>60</v>
      </c>
      <c r="B14" s="33" t="s">
        <v>61</v>
      </c>
      <c r="C14" s="34" t="s">
        <v>108</v>
      </c>
      <c r="D14" s="34" t="s">
        <v>109</v>
      </c>
      <c r="E14" s="34" t="s">
        <v>110</v>
      </c>
      <c r="F14" s="34" t="s">
        <v>111</v>
      </c>
    </row>
    <row r="15" customFormat="false" ht="57.75" hidden="false" customHeight="true" outlineLevel="0" collapsed="false">
      <c r="A15" s="32" t="s">
        <v>62</v>
      </c>
      <c r="B15" s="33" t="s">
        <v>63</v>
      </c>
      <c r="C15" s="34" t="s">
        <v>112</v>
      </c>
      <c r="D15" s="34" t="s">
        <v>113</v>
      </c>
      <c r="E15" s="34" t="s">
        <v>114</v>
      </c>
      <c r="F15" s="34" t="s">
        <v>115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6" t="s">
        <v>116</v>
      </c>
      <c r="B1" s="16"/>
      <c r="C1" s="16"/>
      <c r="D1" s="16"/>
      <c r="E1" s="16"/>
      <c r="F1" s="16"/>
      <c r="G1" s="16"/>
      <c r="H1" s="16"/>
    </row>
    <row r="2" customFormat="false" ht="27.75" hidden="false" customHeight="true" outlineLevel="0" collapsed="false">
      <c r="A2" s="3" t="s">
        <v>117</v>
      </c>
      <c r="B2" s="3"/>
      <c r="C2" s="3"/>
      <c r="D2" s="3"/>
      <c r="E2" s="3"/>
      <c r="F2" s="3"/>
      <c r="G2" s="3"/>
      <c r="H2" s="3"/>
    </row>
    <row r="4" customFormat="false" ht="33.75" hidden="false" customHeight="true" outlineLevel="0" collapsed="false">
      <c r="A4" s="43" t="s">
        <v>118</v>
      </c>
      <c r="B4" s="43" t="s">
        <v>119</v>
      </c>
      <c r="C4" s="43" t="s">
        <v>120</v>
      </c>
      <c r="D4" s="43" t="s">
        <v>121</v>
      </c>
      <c r="E4" s="43" t="s">
        <v>122</v>
      </c>
      <c r="F4" s="43" t="s">
        <v>123</v>
      </c>
      <c r="G4" s="43" t="s">
        <v>124</v>
      </c>
      <c r="H4" s="43" t="s">
        <v>125</v>
      </c>
    </row>
    <row r="5" customFormat="false" ht="61.5" hidden="false" customHeight="true" outlineLevel="0" collapsed="false">
      <c r="A5" s="44" t="s">
        <v>126</v>
      </c>
      <c r="B5" s="10" t="s">
        <v>127</v>
      </c>
      <c r="C5" s="10" t="s">
        <v>128</v>
      </c>
      <c r="D5" s="10" t="s">
        <v>129</v>
      </c>
      <c r="E5" s="10" t="s">
        <v>130</v>
      </c>
      <c r="F5" s="45" t="s">
        <v>131</v>
      </c>
      <c r="G5" s="10" t="s">
        <v>132</v>
      </c>
      <c r="H5" s="46"/>
    </row>
    <row r="6" customFormat="false" ht="61.5" hidden="false" customHeight="true" outlineLevel="0" collapsed="false">
      <c r="A6" s="47" t="s">
        <v>9</v>
      </c>
      <c r="B6" s="10" t="s">
        <v>133</v>
      </c>
      <c r="C6" s="10" t="s">
        <v>134</v>
      </c>
      <c r="D6" s="10" t="s">
        <v>135</v>
      </c>
      <c r="E6" s="10" t="s">
        <v>136</v>
      </c>
      <c r="F6" s="45" t="s">
        <v>137</v>
      </c>
      <c r="G6" s="10" t="s">
        <v>138</v>
      </c>
      <c r="H6" s="46"/>
    </row>
    <row r="7" customFormat="false" ht="61.5" hidden="false" customHeight="true" outlineLevel="0" collapsed="false">
      <c r="A7" s="48" t="s">
        <v>17</v>
      </c>
      <c r="B7" s="10" t="s">
        <v>139</v>
      </c>
      <c r="C7" s="10" t="s">
        <v>140</v>
      </c>
      <c r="D7" s="10" t="s">
        <v>141</v>
      </c>
      <c r="E7" s="10" t="s">
        <v>142</v>
      </c>
      <c r="F7" s="10" t="s">
        <v>143</v>
      </c>
      <c r="G7" s="10" t="s">
        <v>144</v>
      </c>
      <c r="H7" s="46"/>
    </row>
    <row r="8" customFormat="false" ht="61.5" hidden="false" customHeight="true" outlineLevel="0" collapsed="false">
      <c r="A8" s="49" t="s">
        <v>13</v>
      </c>
      <c r="B8" s="10" t="s">
        <v>145</v>
      </c>
      <c r="C8" s="10" t="s">
        <v>146</v>
      </c>
      <c r="D8" s="10" t="s">
        <v>147</v>
      </c>
      <c r="E8" s="10" t="s">
        <v>148</v>
      </c>
      <c r="F8" s="10" t="s">
        <v>143</v>
      </c>
      <c r="G8" s="10" t="s">
        <v>144</v>
      </c>
      <c r="H8" s="46"/>
    </row>
    <row r="9" customFormat="false" ht="61.5" hidden="false" customHeight="true" outlineLevel="0" collapsed="false">
      <c r="A9" s="50" t="s">
        <v>21</v>
      </c>
      <c r="B9" s="10" t="s">
        <v>149</v>
      </c>
      <c r="C9" s="10" t="s">
        <v>150</v>
      </c>
      <c r="D9" s="10" t="s">
        <v>151</v>
      </c>
      <c r="E9" s="10" t="s">
        <v>152</v>
      </c>
      <c r="F9" s="10" t="s">
        <v>143</v>
      </c>
      <c r="G9" s="10" t="s">
        <v>153</v>
      </c>
      <c r="H9" s="46"/>
    </row>
    <row r="11" customFormat="false" ht="15" hidden="false" customHeight="false" outlineLevel="0" collapsed="false">
      <c r="A11" s="51" t="s">
        <v>154</v>
      </c>
    </row>
    <row r="12" customFormat="false" ht="30" hidden="false" customHeight="true" outlineLevel="0" collapsed="false">
      <c r="A12" s="52" t="s">
        <v>155</v>
      </c>
      <c r="B12" s="52"/>
      <c r="C12" s="52"/>
      <c r="D12" s="52"/>
      <c r="E12" s="52"/>
      <c r="F12" s="52"/>
      <c r="G12" s="52"/>
      <c r="H12" s="52"/>
    </row>
    <row r="13" customFormat="false" ht="30" hidden="false" customHeight="true" outlineLevel="0" collapsed="false">
      <c r="A13" s="52" t="s">
        <v>156</v>
      </c>
      <c r="B13" s="52"/>
      <c r="C13" s="52"/>
      <c r="D13" s="52"/>
      <c r="E13" s="52"/>
      <c r="F13" s="52"/>
      <c r="G13" s="52"/>
      <c r="H13" s="52"/>
    </row>
    <row r="14" customFormat="false" ht="30" hidden="false" customHeight="true" outlineLevel="0" collapsed="false">
      <c r="A14" s="52" t="s">
        <v>157</v>
      </c>
      <c r="B14" s="52"/>
      <c r="C14" s="52"/>
      <c r="D14" s="52"/>
      <c r="E14" s="52"/>
      <c r="F14" s="52"/>
      <c r="G14" s="52"/>
      <c r="H14" s="52"/>
    </row>
    <row r="15" customFormat="false" ht="30" hidden="false" customHeight="true" outlineLevel="0" collapsed="false">
      <c r="A15" s="52" t="s">
        <v>158</v>
      </c>
      <c r="B15" s="52"/>
      <c r="C15" s="52"/>
      <c r="D15" s="52"/>
      <c r="E15" s="52"/>
      <c r="F15" s="52"/>
      <c r="G15" s="52"/>
      <c r="H15" s="52"/>
    </row>
    <row r="16" customFormat="false" ht="30" hidden="false" customHeight="true" outlineLevel="0" collapsed="false">
      <c r="A16" s="53" t="s">
        <v>159</v>
      </c>
      <c r="B16" s="53"/>
      <c r="C16" s="53"/>
      <c r="D16" s="53"/>
      <c r="E16" s="53"/>
      <c r="F16" s="53"/>
      <c r="G16" s="53"/>
      <c r="H16" s="53"/>
    </row>
    <row r="17" customFormat="false" ht="30" hidden="false" customHeight="true" outlineLevel="0" collapsed="false">
      <c r="A17" s="53" t="s">
        <v>160</v>
      </c>
      <c r="B17" s="53"/>
      <c r="C17" s="53"/>
      <c r="D17" s="53"/>
      <c r="E17" s="53"/>
      <c r="F17" s="53"/>
      <c r="G17" s="53"/>
      <c r="H17" s="53"/>
    </row>
  </sheetData>
  <mergeCells count="8">
    <mergeCell ref="A1:H1"/>
    <mergeCell ref="A2:H2"/>
    <mergeCell ref="A12:H12"/>
    <mergeCell ref="A13:H13"/>
    <mergeCell ref="A14:H14"/>
    <mergeCell ref="A15:H15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2026-06-23T07:54:29Z</dcterms:created>
  <dc:creator>openpyxl</dc:creator>
  <dc:description/>
  <dc:language>en-US</dc:language>
  <cp:lastModifiedBy/>
  <dcterms:modified xsi:type="dcterms:W3CDTF">2026-06-23T08:11:01Z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